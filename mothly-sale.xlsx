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ay Sirsikar\Desktop\BUSINESS ANALYST\Power BI\"/>
    </mc:Choice>
  </mc:AlternateContent>
  <xr:revisionPtr revIDLastSave="0" documentId="13_ncr:1_{306AB460-CCEF-4747-B6EF-1CE2C138162A}" xr6:coauthVersionLast="47" xr6:coauthVersionMax="47" xr10:uidLastSave="{00000000-0000-0000-0000-000000000000}"/>
  <bookViews>
    <workbookView xWindow="-110" yWindow="-110" windowWidth="19420" windowHeight="10300" xr2:uid="{87373252-959D-47E0-94C3-A2BCF8263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1" l="1"/>
  <c r="I6" i="1"/>
  <c r="K6" i="1" s="1"/>
  <c r="I7" i="1"/>
  <c r="K7" i="1" s="1"/>
  <c r="I14" i="1"/>
  <c r="K14" i="1" s="1"/>
  <c r="I15" i="1"/>
  <c r="K15" i="1" s="1"/>
  <c r="I21" i="1"/>
  <c r="K21" i="1" s="1"/>
  <c r="I22" i="1"/>
  <c r="K22" i="1" s="1"/>
  <c r="I23" i="1"/>
  <c r="K23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  <c r="F15" i="1"/>
  <c r="F16" i="1"/>
  <c r="I16" i="1" s="1"/>
  <c r="K16" i="1" s="1"/>
  <c r="F17" i="1"/>
  <c r="I17" i="1" s="1"/>
  <c r="K17" i="1" s="1"/>
  <c r="F18" i="1"/>
  <c r="I18" i="1" s="1"/>
  <c r="K18" i="1" s="1"/>
  <c r="F19" i="1"/>
  <c r="I19" i="1" s="1"/>
  <c r="K19" i="1" s="1"/>
  <c r="F20" i="1"/>
  <c r="I20" i="1" s="1"/>
  <c r="K20" i="1" s="1"/>
  <c r="F21" i="1"/>
  <c r="F22" i="1"/>
  <c r="F23" i="1"/>
  <c r="F24" i="1"/>
  <c r="I24" i="1" s="1"/>
  <c r="K24" i="1" s="1"/>
  <c r="F25" i="1"/>
  <c r="I25" i="1" s="1"/>
  <c r="K25" i="1" s="1"/>
  <c r="F3" i="1"/>
  <c r="I3" i="1" s="1"/>
  <c r="K3" i="1" s="1"/>
  <c r="F4" i="1"/>
  <c r="I4" i="1" s="1"/>
  <c r="K4" i="1" s="1"/>
  <c r="F5" i="1"/>
  <c r="I5" i="1" s="1"/>
  <c r="K5" i="1" s="1"/>
  <c r="F6" i="1"/>
  <c r="F7" i="1"/>
  <c r="F8" i="1"/>
  <c r="I8" i="1" s="1"/>
  <c r="K8" i="1" s="1"/>
  <c r="F9" i="1"/>
  <c r="I9" i="1" s="1"/>
  <c r="K9" i="1" s="1"/>
  <c r="F10" i="1"/>
  <c r="I10" i="1" s="1"/>
  <c r="K10" i="1" s="1"/>
  <c r="F11" i="1"/>
  <c r="I11" i="1" s="1"/>
  <c r="K11" i="1" s="1"/>
  <c r="F12" i="1"/>
  <c r="I12" i="1" s="1"/>
  <c r="K12" i="1" s="1"/>
  <c r="F13" i="1"/>
  <c r="I13" i="1" s="1"/>
  <c r="K13" i="1" s="1"/>
  <c r="F14" i="1"/>
  <c r="F2" i="1"/>
  <c r="I2" i="1" s="1"/>
  <c r="K2" i="1" s="1"/>
</calcChain>
</file>

<file path=xl/sharedStrings.xml><?xml version="1.0" encoding="utf-8"?>
<sst xmlns="http://schemas.openxmlformats.org/spreadsheetml/2006/main" count="35" uniqueCount="23">
  <si>
    <t>Product</t>
  </si>
  <si>
    <t>Quantity</t>
  </si>
  <si>
    <t>Unit Price</t>
  </si>
  <si>
    <t>Revenue</t>
  </si>
  <si>
    <t>COGS</t>
  </si>
  <si>
    <t>Gross Profit</t>
  </si>
  <si>
    <t>Operating Expenses</t>
  </si>
  <si>
    <t>Month</t>
  </si>
  <si>
    <t>Net Profit</t>
  </si>
  <si>
    <t>Hair-band</t>
  </si>
  <si>
    <t>nail-polish</t>
  </si>
  <si>
    <t>hair-clip</t>
  </si>
  <si>
    <t>body-lotion</t>
  </si>
  <si>
    <t>face-crème</t>
  </si>
  <si>
    <t>shampoo</t>
  </si>
  <si>
    <t>sunscreen</t>
  </si>
  <si>
    <t>comb</t>
  </si>
  <si>
    <t>necklace</t>
  </si>
  <si>
    <t>braclets</t>
  </si>
  <si>
    <t>eye-liner</t>
  </si>
  <si>
    <t>lipsticks</t>
  </si>
  <si>
    <t>Monthly-sale ID</t>
  </si>
  <si>
    <t>COG-unit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</si>
</sst>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 [$₹-4009]\ * #,##0_ ;_ [$₹-4009]\ * \-#,##0_ ;_ [$₹-4009]\ * &quot;-&quot;??_ ;_ @_ "/>
    <numFmt numFmtId="165" formatCode="_ &quot;₹&quot;\ * #,##0_ ;_ &quot;₹&quot;\ * \-#,##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64" fontId="2" fillId="2" borderId="1" xfId="0" applyNumberFormat="1" applyFont="1" applyFill="1" applyBorder="1"/>
    <xf numFmtId="164" fontId="0" fillId="0" borderId="0" xfId="0" applyNumberFormat="1"/>
    <xf numFmtId="44" fontId="0" fillId="0" borderId="0" xfId="1" applyFont="1"/>
    <xf numFmtId="165" fontId="2" fillId="2" borderId="1" xfId="1" applyNumberFormat="1" applyFont="1" applyFill="1" applyBorder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9077-078C-47A9-A45C-0AA18426AF5D}">
  <dimension ref="A1:M29"/>
  <sheetViews>
    <sheetView tabSelected="1" workbookViewId="0">
      <selection activeCell="M15" sqref="M15"/>
    </sheetView>
  </sheetViews>
  <sheetFormatPr defaultRowHeight="14.5" x14ac:dyDescent="0.35"/>
  <cols>
    <col min="1" max="1" width="14.1796875" bestFit="1" customWidth="1"/>
    <col min="2" max="2" width="7.08984375" bestFit="1" customWidth="1"/>
    <col min="3" max="3" width="10.453125" bestFit="1" customWidth="1"/>
    <col min="4" max="4" width="8.90625" bestFit="1" customWidth="1"/>
    <col min="5" max="5" width="8.1796875" bestFit="1" customWidth="1"/>
    <col min="6" max="6" width="11.1796875" bestFit="1" customWidth="1"/>
    <col min="7" max="7" width="8.54296875" bestFit="1" customWidth="1"/>
    <col min="8" max="8" width="11.1796875" bestFit="1" customWidth="1"/>
    <col min="9" max="9" width="10.7265625" bestFit="1" customWidth="1"/>
    <col min="10" max="10" width="17.54296875" bestFit="1" customWidth="1"/>
    <col min="11" max="11" width="12.6328125" bestFit="1" customWidth="1"/>
    <col min="13" max="13" width="10.08984375" bestFit="1" customWidth="1"/>
  </cols>
  <sheetData>
    <row r="1" spans="1:13" x14ac:dyDescent="0.35">
      <c r="A1" s="2" t="s">
        <v>21</v>
      </c>
      <c r="B1" s="2" t="s">
        <v>7</v>
      </c>
      <c r="C1" s="1" t="s">
        <v>0</v>
      </c>
      <c r="D1" s="1" t="s">
        <v>2</v>
      </c>
      <c r="E1" s="1" t="s">
        <v>1</v>
      </c>
      <c r="F1" s="5" t="s">
        <v>3</v>
      </c>
      <c r="G1" s="1" t="s">
        <v>22</v>
      </c>
      <c r="H1" s="8" t="s">
        <v>4</v>
      </c>
      <c r="I1" s="1" t="s">
        <v>5</v>
      </c>
      <c r="J1" s="1" t="s">
        <v>6</v>
      </c>
      <c r="K1" s="1" t="s">
        <v>8</v>
      </c>
    </row>
    <row r="2" spans="1:13" x14ac:dyDescent="0.35">
      <c r="A2" s="3">
        <v>101</v>
      </c>
      <c r="B2" s="4">
        <v>45292</v>
      </c>
      <c r="C2" t="s">
        <v>9</v>
      </c>
      <c r="D2">
        <v>50</v>
      </c>
      <c r="E2">
        <v>40</v>
      </c>
      <c r="F2" s="6">
        <f>D2*E2</f>
        <v>2000</v>
      </c>
      <c r="G2">
        <v>15</v>
      </c>
      <c r="H2" s="9">
        <f>G2*E2</f>
        <v>600</v>
      </c>
      <c r="I2" s="6">
        <f>F2-H2</f>
        <v>1400</v>
      </c>
      <c r="J2">
        <v>600</v>
      </c>
      <c r="K2" s="6">
        <f>I2-J2</f>
        <v>800</v>
      </c>
    </row>
    <row r="3" spans="1:13" x14ac:dyDescent="0.35">
      <c r="A3" s="3">
        <v>102</v>
      </c>
      <c r="B3" s="4">
        <v>45323</v>
      </c>
      <c r="C3" t="s">
        <v>10</v>
      </c>
      <c r="D3">
        <v>90</v>
      </c>
      <c r="E3">
        <v>50</v>
      </c>
      <c r="F3" s="6">
        <f t="shared" ref="F3:F25" si="0">D3*E3</f>
        <v>4500</v>
      </c>
      <c r="G3">
        <v>40</v>
      </c>
      <c r="H3" s="9">
        <f t="shared" ref="H3:H25" si="1">G3*E3</f>
        <v>2000</v>
      </c>
      <c r="I3" s="6">
        <f t="shared" ref="I3:I24" si="2">F3-H3</f>
        <v>2500</v>
      </c>
      <c r="J3">
        <v>600</v>
      </c>
      <c r="K3" s="6">
        <f t="shared" ref="K3:K25" si="3">I3-J3</f>
        <v>1900</v>
      </c>
    </row>
    <row r="4" spans="1:13" x14ac:dyDescent="0.35">
      <c r="A4" s="3">
        <v>103</v>
      </c>
      <c r="B4" s="4">
        <v>45352</v>
      </c>
      <c r="C4" t="s">
        <v>11</v>
      </c>
      <c r="D4">
        <v>40</v>
      </c>
      <c r="E4">
        <v>300</v>
      </c>
      <c r="F4" s="6">
        <f t="shared" si="0"/>
        <v>12000</v>
      </c>
      <c r="G4">
        <v>10</v>
      </c>
      <c r="H4" s="9">
        <f t="shared" si="1"/>
        <v>3000</v>
      </c>
      <c r="I4" s="6">
        <f t="shared" si="2"/>
        <v>9000</v>
      </c>
      <c r="J4">
        <v>600</v>
      </c>
      <c r="K4" s="6">
        <f t="shared" si="3"/>
        <v>8400</v>
      </c>
    </row>
    <row r="5" spans="1:13" x14ac:dyDescent="0.35">
      <c r="A5" s="3">
        <v>104</v>
      </c>
      <c r="B5" s="4">
        <v>45383</v>
      </c>
      <c r="C5" t="s">
        <v>12</v>
      </c>
      <c r="D5">
        <v>300</v>
      </c>
      <c r="E5">
        <v>20</v>
      </c>
      <c r="F5" s="6">
        <f t="shared" si="0"/>
        <v>6000</v>
      </c>
      <c r="G5">
        <v>150</v>
      </c>
      <c r="H5" s="9">
        <f t="shared" si="1"/>
        <v>3000</v>
      </c>
      <c r="I5" s="6">
        <f t="shared" si="2"/>
        <v>3000</v>
      </c>
      <c r="J5">
        <v>600</v>
      </c>
      <c r="K5" s="6">
        <f t="shared" si="3"/>
        <v>2400</v>
      </c>
    </row>
    <row r="6" spans="1:13" x14ac:dyDescent="0.35">
      <c r="A6" s="3">
        <v>105</v>
      </c>
      <c r="B6" s="4">
        <v>45413</v>
      </c>
      <c r="C6" t="s">
        <v>13</v>
      </c>
      <c r="D6">
        <v>450</v>
      </c>
      <c r="E6">
        <v>50</v>
      </c>
      <c r="F6" s="6">
        <f t="shared" si="0"/>
        <v>22500</v>
      </c>
      <c r="G6">
        <v>200</v>
      </c>
      <c r="H6" s="9">
        <f t="shared" si="1"/>
        <v>10000</v>
      </c>
      <c r="I6" s="6">
        <f t="shared" si="2"/>
        <v>12500</v>
      </c>
      <c r="J6">
        <v>600</v>
      </c>
      <c r="K6" s="6">
        <f t="shared" si="3"/>
        <v>11900</v>
      </c>
    </row>
    <row r="7" spans="1:13" x14ac:dyDescent="0.35">
      <c r="A7" s="3">
        <v>106</v>
      </c>
      <c r="B7" s="4">
        <v>45444</v>
      </c>
      <c r="C7" t="s">
        <v>14</v>
      </c>
      <c r="D7">
        <v>330</v>
      </c>
      <c r="E7">
        <v>45</v>
      </c>
      <c r="F7" s="6">
        <f t="shared" si="0"/>
        <v>14850</v>
      </c>
      <c r="G7">
        <v>180</v>
      </c>
      <c r="H7" s="9">
        <f t="shared" si="1"/>
        <v>8100</v>
      </c>
      <c r="I7" s="6">
        <f t="shared" si="2"/>
        <v>6750</v>
      </c>
      <c r="J7">
        <v>500</v>
      </c>
      <c r="K7" s="6">
        <f t="shared" si="3"/>
        <v>6250</v>
      </c>
    </row>
    <row r="8" spans="1:13" x14ac:dyDescent="0.35">
      <c r="A8" s="3">
        <v>107</v>
      </c>
      <c r="B8" s="4">
        <v>45474</v>
      </c>
      <c r="C8" t="s">
        <v>15</v>
      </c>
      <c r="D8">
        <v>300</v>
      </c>
      <c r="E8">
        <v>36</v>
      </c>
      <c r="F8" s="6">
        <f t="shared" si="0"/>
        <v>10800</v>
      </c>
      <c r="G8">
        <v>150</v>
      </c>
      <c r="H8" s="9">
        <f t="shared" si="1"/>
        <v>5400</v>
      </c>
      <c r="I8" s="6">
        <f t="shared" si="2"/>
        <v>5400</v>
      </c>
      <c r="J8">
        <v>500</v>
      </c>
      <c r="K8" s="6">
        <f t="shared" si="3"/>
        <v>4900</v>
      </c>
    </row>
    <row r="9" spans="1:13" x14ac:dyDescent="0.35">
      <c r="A9" s="3">
        <v>108</v>
      </c>
      <c r="B9" s="4">
        <v>45505</v>
      </c>
      <c r="C9" t="s">
        <v>16</v>
      </c>
      <c r="D9">
        <v>100</v>
      </c>
      <c r="E9">
        <v>84</v>
      </c>
      <c r="F9" s="6">
        <f t="shared" si="0"/>
        <v>8400</v>
      </c>
      <c r="G9">
        <v>20</v>
      </c>
      <c r="H9" s="9">
        <f t="shared" si="1"/>
        <v>1680</v>
      </c>
      <c r="I9" s="6">
        <f t="shared" si="2"/>
        <v>6720</v>
      </c>
      <c r="J9">
        <v>500</v>
      </c>
      <c r="K9" s="6">
        <f t="shared" si="3"/>
        <v>6220</v>
      </c>
    </row>
    <row r="10" spans="1:13" x14ac:dyDescent="0.35">
      <c r="A10" s="3">
        <v>109</v>
      </c>
      <c r="B10" s="4">
        <v>45536</v>
      </c>
      <c r="C10" t="s">
        <v>17</v>
      </c>
      <c r="D10">
        <v>250</v>
      </c>
      <c r="E10">
        <v>45</v>
      </c>
      <c r="F10" s="6">
        <f t="shared" si="0"/>
        <v>11250</v>
      </c>
      <c r="G10">
        <v>100</v>
      </c>
      <c r="H10" s="9">
        <f t="shared" si="1"/>
        <v>4500</v>
      </c>
      <c r="I10" s="6">
        <f t="shared" si="2"/>
        <v>6750</v>
      </c>
      <c r="J10">
        <v>500</v>
      </c>
      <c r="K10" s="6">
        <f t="shared" si="3"/>
        <v>6250</v>
      </c>
      <c r="M10" s="6"/>
    </row>
    <row r="11" spans="1:13" x14ac:dyDescent="0.35">
      <c r="A11" s="3">
        <v>110</v>
      </c>
      <c r="B11" s="4">
        <v>45566</v>
      </c>
      <c r="C11" t="s">
        <v>18</v>
      </c>
      <c r="D11">
        <v>200</v>
      </c>
      <c r="E11">
        <v>35</v>
      </c>
      <c r="F11" s="6">
        <f t="shared" si="0"/>
        <v>7000</v>
      </c>
      <c r="G11">
        <v>80</v>
      </c>
      <c r="H11" s="9">
        <f t="shared" si="1"/>
        <v>2800</v>
      </c>
      <c r="I11" s="6">
        <f t="shared" si="2"/>
        <v>4200</v>
      </c>
      <c r="J11">
        <v>500</v>
      </c>
      <c r="K11" s="6">
        <f t="shared" si="3"/>
        <v>3700</v>
      </c>
    </row>
    <row r="12" spans="1:13" x14ac:dyDescent="0.35">
      <c r="A12" s="3">
        <v>111</v>
      </c>
      <c r="B12" s="4">
        <v>45597</v>
      </c>
      <c r="C12" t="s">
        <v>19</v>
      </c>
      <c r="D12">
        <v>260</v>
      </c>
      <c r="E12">
        <v>86</v>
      </c>
      <c r="F12" s="6">
        <f t="shared" si="0"/>
        <v>22360</v>
      </c>
      <c r="G12">
        <v>150</v>
      </c>
      <c r="H12" s="9">
        <f t="shared" si="1"/>
        <v>12900</v>
      </c>
      <c r="I12" s="6">
        <f t="shared" si="2"/>
        <v>9460</v>
      </c>
      <c r="J12">
        <v>500</v>
      </c>
      <c r="K12" s="6">
        <f t="shared" si="3"/>
        <v>8960</v>
      </c>
    </row>
    <row r="13" spans="1:13" x14ac:dyDescent="0.35">
      <c r="A13" s="3">
        <v>112</v>
      </c>
      <c r="B13" s="4">
        <v>45627</v>
      </c>
      <c r="C13" t="s">
        <v>20</v>
      </c>
      <c r="D13">
        <v>350</v>
      </c>
      <c r="E13">
        <v>12</v>
      </c>
      <c r="F13" s="6">
        <f t="shared" si="0"/>
        <v>4200</v>
      </c>
      <c r="G13">
        <v>140</v>
      </c>
      <c r="H13" s="9">
        <f t="shared" si="1"/>
        <v>1680</v>
      </c>
      <c r="I13" s="6">
        <f t="shared" si="2"/>
        <v>2520</v>
      </c>
      <c r="J13">
        <v>650</v>
      </c>
      <c r="K13" s="6">
        <f t="shared" si="3"/>
        <v>1870</v>
      </c>
    </row>
    <row r="14" spans="1:13" x14ac:dyDescent="0.35">
      <c r="A14" s="3">
        <v>113</v>
      </c>
      <c r="B14" s="4">
        <v>45658</v>
      </c>
      <c r="C14" t="s">
        <v>12</v>
      </c>
      <c r="D14">
        <v>350</v>
      </c>
      <c r="E14">
        <v>45</v>
      </c>
      <c r="F14" s="6">
        <f t="shared" si="0"/>
        <v>15750</v>
      </c>
      <c r="G14">
        <v>200</v>
      </c>
      <c r="H14" s="9">
        <f t="shared" si="1"/>
        <v>9000</v>
      </c>
      <c r="I14" s="6">
        <f t="shared" si="2"/>
        <v>6750</v>
      </c>
      <c r="J14">
        <v>650</v>
      </c>
      <c r="K14" s="6">
        <f t="shared" si="3"/>
        <v>6100</v>
      </c>
    </row>
    <row r="15" spans="1:13" x14ac:dyDescent="0.35">
      <c r="A15" s="3">
        <v>114</v>
      </c>
      <c r="B15" s="4">
        <v>45689</v>
      </c>
      <c r="C15" t="s">
        <v>13</v>
      </c>
      <c r="D15">
        <v>200</v>
      </c>
      <c r="E15">
        <v>85</v>
      </c>
      <c r="F15" s="6">
        <f>D15*E15</f>
        <v>17000</v>
      </c>
      <c r="G15">
        <v>90</v>
      </c>
      <c r="H15" s="9">
        <f t="shared" si="1"/>
        <v>7650</v>
      </c>
      <c r="I15" s="6">
        <f t="shared" si="2"/>
        <v>9350</v>
      </c>
      <c r="J15">
        <v>650</v>
      </c>
      <c r="K15" s="6">
        <f t="shared" si="3"/>
        <v>8700</v>
      </c>
    </row>
    <row r="16" spans="1:13" x14ac:dyDescent="0.35">
      <c r="A16" s="3">
        <v>115</v>
      </c>
      <c r="B16" s="4">
        <v>45717</v>
      </c>
      <c r="C16" t="s">
        <v>14</v>
      </c>
      <c r="D16">
        <v>400</v>
      </c>
      <c r="E16">
        <v>87</v>
      </c>
      <c r="F16" s="6">
        <f t="shared" si="0"/>
        <v>34800</v>
      </c>
      <c r="G16">
        <v>180</v>
      </c>
      <c r="H16" s="9">
        <f t="shared" si="1"/>
        <v>15660</v>
      </c>
      <c r="I16" s="6">
        <f t="shared" si="2"/>
        <v>19140</v>
      </c>
      <c r="J16">
        <v>650</v>
      </c>
      <c r="K16" s="6">
        <f t="shared" si="3"/>
        <v>18490</v>
      </c>
    </row>
    <row r="17" spans="1:11" x14ac:dyDescent="0.35">
      <c r="A17" s="3">
        <v>116</v>
      </c>
      <c r="B17" s="4">
        <v>45748</v>
      </c>
      <c r="C17" t="s">
        <v>15</v>
      </c>
      <c r="D17">
        <v>280</v>
      </c>
      <c r="E17">
        <v>45</v>
      </c>
      <c r="F17" s="6">
        <f t="shared" si="0"/>
        <v>12600</v>
      </c>
      <c r="G17">
        <v>140</v>
      </c>
      <c r="H17" s="9">
        <f t="shared" si="1"/>
        <v>6300</v>
      </c>
      <c r="I17" s="6">
        <f t="shared" si="2"/>
        <v>6300</v>
      </c>
      <c r="J17">
        <v>650</v>
      </c>
      <c r="K17" s="6">
        <f t="shared" si="3"/>
        <v>5650</v>
      </c>
    </row>
    <row r="18" spans="1:11" x14ac:dyDescent="0.35">
      <c r="A18" s="3">
        <v>117</v>
      </c>
      <c r="B18" s="4">
        <v>45778</v>
      </c>
      <c r="C18" t="s">
        <v>16</v>
      </c>
      <c r="D18">
        <v>110</v>
      </c>
      <c r="E18">
        <v>30</v>
      </c>
      <c r="F18" s="6">
        <f t="shared" si="0"/>
        <v>3300</v>
      </c>
      <c r="G18">
        <v>30</v>
      </c>
      <c r="H18" s="9">
        <f t="shared" si="1"/>
        <v>900</v>
      </c>
      <c r="I18" s="6">
        <f t="shared" si="2"/>
        <v>2400</v>
      </c>
      <c r="J18">
        <v>650</v>
      </c>
      <c r="K18" s="6">
        <f t="shared" si="3"/>
        <v>1750</v>
      </c>
    </row>
    <row r="19" spans="1:11" x14ac:dyDescent="0.35">
      <c r="A19" s="3">
        <v>118</v>
      </c>
      <c r="B19" s="4">
        <v>45809</v>
      </c>
      <c r="C19" t="s">
        <v>17</v>
      </c>
      <c r="D19">
        <v>460</v>
      </c>
      <c r="E19">
        <v>90</v>
      </c>
      <c r="F19" s="6">
        <f t="shared" si="0"/>
        <v>41400</v>
      </c>
      <c r="G19">
        <v>240</v>
      </c>
      <c r="H19" s="9">
        <f t="shared" si="1"/>
        <v>21600</v>
      </c>
      <c r="I19" s="6">
        <f t="shared" si="2"/>
        <v>19800</v>
      </c>
      <c r="J19">
        <v>650</v>
      </c>
      <c r="K19" s="6">
        <f t="shared" si="3"/>
        <v>19150</v>
      </c>
    </row>
    <row r="20" spans="1:11" x14ac:dyDescent="0.35">
      <c r="A20" s="3">
        <v>119</v>
      </c>
      <c r="B20" s="4">
        <v>45839</v>
      </c>
      <c r="C20" t="s">
        <v>18</v>
      </c>
      <c r="D20">
        <v>300</v>
      </c>
      <c r="E20">
        <v>45</v>
      </c>
      <c r="F20" s="6">
        <f t="shared" si="0"/>
        <v>13500</v>
      </c>
      <c r="G20">
        <v>130</v>
      </c>
      <c r="H20" s="9">
        <f t="shared" si="1"/>
        <v>5850</v>
      </c>
      <c r="I20" s="6">
        <f t="shared" si="2"/>
        <v>7650</v>
      </c>
      <c r="J20">
        <v>650</v>
      </c>
      <c r="K20" s="6">
        <f t="shared" si="3"/>
        <v>7000</v>
      </c>
    </row>
    <row r="21" spans="1:11" x14ac:dyDescent="0.35">
      <c r="A21" s="3">
        <v>120</v>
      </c>
      <c r="B21" s="4">
        <v>45870</v>
      </c>
      <c r="C21" t="s">
        <v>9</v>
      </c>
      <c r="D21">
        <v>40</v>
      </c>
      <c r="E21">
        <v>34</v>
      </c>
      <c r="F21" s="6">
        <f t="shared" si="0"/>
        <v>1360</v>
      </c>
      <c r="G21">
        <v>10</v>
      </c>
      <c r="H21" s="9">
        <f t="shared" si="1"/>
        <v>340</v>
      </c>
      <c r="I21" s="6">
        <f t="shared" si="2"/>
        <v>1020</v>
      </c>
      <c r="J21">
        <v>600</v>
      </c>
      <c r="K21" s="6">
        <f t="shared" si="3"/>
        <v>420</v>
      </c>
    </row>
    <row r="22" spans="1:11" x14ac:dyDescent="0.35">
      <c r="A22" s="3">
        <v>121</v>
      </c>
      <c r="B22" s="4">
        <v>45901</v>
      </c>
      <c r="C22" t="s">
        <v>10</v>
      </c>
      <c r="D22">
        <v>100</v>
      </c>
      <c r="E22">
        <v>65</v>
      </c>
      <c r="F22" s="6">
        <f t="shared" si="0"/>
        <v>6500</v>
      </c>
      <c r="G22">
        <v>40</v>
      </c>
      <c r="H22" s="9">
        <f t="shared" si="1"/>
        <v>2600</v>
      </c>
      <c r="I22" s="6">
        <f t="shared" si="2"/>
        <v>3900</v>
      </c>
      <c r="J22">
        <v>600</v>
      </c>
      <c r="K22" s="6">
        <f t="shared" si="3"/>
        <v>3300</v>
      </c>
    </row>
    <row r="23" spans="1:11" x14ac:dyDescent="0.35">
      <c r="A23" s="3">
        <v>122</v>
      </c>
      <c r="B23" s="4">
        <v>45931</v>
      </c>
      <c r="C23" t="s">
        <v>11</v>
      </c>
      <c r="D23">
        <v>80</v>
      </c>
      <c r="E23">
        <v>86</v>
      </c>
      <c r="F23" s="6">
        <f t="shared" si="0"/>
        <v>6880</v>
      </c>
      <c r="G23">
        <v>20</v>
      </c>
      <c r="H23" s="9">
        <f t="shared" si="1"/>
        <v>1720</v>
      </c>
      <c r="I23" s="6">
        <f t="shared" si="2"/>
        <v>5160</v>
      </c>
      <c r="J23">
        <v>600</v>
      </c>
      <c r="K23" s="6">
        <f t="shared" si="3"/>
        <v>4560</v>
      </c>
    </row>
    <row r="24" spans="1:11" x14ac:dyDescent="0.35">
      <c r="A24" s="3">
        <v>123</v>
      </c>
      <c r="B24" s="4">
        <v>45962</v>
      </c>
      <c r="C24" t="s">
        <v>17</v>
      </c>
      <c r="D24">
        <v>600</v>
      </c>
      <c r="E24">
        <v>34</v>
      </c>
      <c r="F24" s="6">
        <f t="shared" si="0"/>
        <v>20400</v>
      </c>
      <c r="G24">
        <v>260</v>
      </c>
      <c r="H24" s="9">
        <f t="shared" si="1"/>
        <v>8840</v>
      </c>
      <c r="I24" s="6">
        <f t="shared" si="2"/>
        <v>11560</v>
      </c>
      <c r="J24">
        <v>600</v>
      </c>
      <c r="K24" s="6">
        <f t="shared" si="3"/>
        <v>10960</v>
      </c>
    </row>
    <row r="25" spans="1:11" x14ac:dyDescent="0.35">
      <c r="A25" s="3">
        <v>124</v>
      </c>
      <c r="B25" s="4">
        <v>45992</v>
      </c>
      <c r="C25" t="s">
        <v>18</v>
      </c>
      <c r="D25">
        <v>200</v>
      </c>
      <c r="E25">
        <v>23</v>
      </c>
      <c r="F25" s="6">
        <f t="shared" si="0"/>
        <v>4600</v>
      </c>
      <c r="G25">
        <v>90</v>
      </c>
      <c r="H25" s="9">
        <f t="shared" si="1"/>
        <v>2070</v>
      </c>
      <c r="I25" s="6">
        <f>F25-H25</f>
        <v>2530</v>
      </c>
      <c r="J25">
        <v>600</v>
      </c>
      <c r="K25" s="6">
        <f t="shared" si="3"/>
        <v>1930</v>
      </c>
    </row>
    <row r="26" spans="1:11" x14ac:dyDescent="0.35">
      <c r="K26" s="6"/>
    </row>
    <row r="28" spans="1:11" x14ac:dyDescent="0.35">
      <c r="F28" s="6">
        <f>SUM(F1:F25)</f>
        <v>303950</v>
      </c>
    </row>
    <row r="29" spans="1:11" x14ac:dyDescent="0.35">
      <c r="K29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Ashlesha Sirsikar</dc:creator>
  <cp:lastModifiedBy>Ashlesha Sirsikar</cp:lastModifiedBy>
  <dcterms:created xsi:type="dcterms:W3CDTF">2025-06-10T09:00:36Z</dcterms:created>
  <dcterms:modified xsi:type="dcterms:W3CDTF">2025-06-10T12:11:57Z</dcterms:modified>
</cp:coreProperties>
</file>